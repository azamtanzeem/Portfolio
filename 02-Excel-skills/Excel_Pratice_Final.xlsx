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zamt\OneDrive\Desktop\"/>
    </mc:Choice>
  </mc:AlternateContent>
  <xr:revisionPtr revIDLastSave="0" documentId="8_{780EDE43-2C0B-4981-88C9-3D7688C1BF2C}" xr6:coauthVersionLast="47" xr6:coauthVersionMax="47" xr10:uidLastSave="{00000000-0000-0000-0000-000000000000}"/>
  <bookViews>
    <workbookView xWindow="-110" yWindow="-110" windowWidth="19420" windowHeight="10300" activeTab="5" xr2:uid="{6F3530DB-0DEB-4D70-A419-E19B85D4C210}"/>
  </bookViews>
  <sheets>
    <sheet name="Data" sheetId="6" r:id="rId1"/>
    <sheet name="Formatting" sheetId="5" r:id="rId2"/>
    <sheet name="Chart" sheetId="8" r:id="rId3"/>
    <sheet name="Pivot" sheetId="4" r:id="rId4"/>
    <sheet name="Summary" sheetId="3" r:id="rId5"/>
    <sheet name="Lookups" sheetId="2" r:id="rId6"/>
    <sheet name="Validation" sheetId="1" r:id="rId7"/>
  </sheets>
  <definedNames>
    <definedName name="Slicer_Department">#N/A</definedName>
  </definedNames>
  <calcPr calcId="191029"/>
  <pivotCaches>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1" l="1"/>
  <c r="I21" i="5"/>
  <c r="H21" i="5"/>
  <c r="G21"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 r="I9" i="5"/>
  <c r="H9" i="5"/>
  <c r="G9" i="5"/>
  <c r="I8" i="5"/>
  <c r="H8" i="5"/>
  <c r="G8" i="5"/>
  <c r="I7" i="5"/>
  <c r="H7" i="5"/>
  <c r="G7" i="5"/>
  <c r="I6" i="5"/>
  <c r="H6" i="5"/>
  <c r="G6" i="5"/>
  <c r="I5" i="5"/>
  <c r="H5" i="5"/>
  <c r="G5" i="5"/>
  <c r="I4" i="5"/>
  <c r="H4" i="5"/>
  <c r="G4" i="5"/>
  <c r="I3" i="5"/>
  <c r="H3" i="5"/>
  <c r="G3" i="5"/>
  <c r="I2" i="5"/>
  <c r="H2" i="5"/>
  <c r="G2" i="5"/>
  <c r="I2" i="6"/>
  <c r="I3" i="6"/>
  <c r="I4" i="6"/>
  <c r="I5" i="6"/>
  <c r="I6" i="6"/>
  <c r="I7" i="6"/>
  <c r="I8" i="6"/>
  <c r="I9" i="6"/>
  <c r="I10" i="6"/>
  <c r="I11" i="6"/>
  <c r="I12" i="6"/>
  <c r="I13" i="6"/>
  <c r="I14" i="6"/>
  <c r="I15" i="6"/>
  <c r="I16" i="6"/>
  <c r="I17" i="6"/>
  <c r="I18" i="6"/>
  <c r="I19" i="6"/>
  <c r="I20" i="6"/>
  <c r="I21" i="6"/>
  <c r="H2" i="6"/>
  <c r="H3" i="6"/>
  <c r="H4" i="6"/>
  <c r="H5" i="6"/>
  <c r="H6" i="6"/>
  <c r="H7" i="6"/>
  <c r="H8" i="6"/>
  <c r="H9" i="6"/>
  <c r="H10" i="6"/>
  <c r="H11" i="6"/>
  <c r="H12" i="6"/>
  <c r="H13" i="6"/>
  <c r="H14" i="6"/>
  <c r="H15" i="6"/>
  <c r="H16" i="6"/>
  <c r="H17" i="6"/>
  <c r="H18" i="6"/>
  <c r="H19" i="6"/>
  <c r="H20" i="6"/>
  <c r="H21" i="6"/>
  <c r="G2" i="6"/>
  <c r="G3" i="6"/>
  <c r="G4" i="6"/>
  <c r="G5" i="6"/>
  <c r="G6" i="6"/>
  <c r="G7" i="6"/>
  <c r="G8" i="6"/>
  <c r="G9" i="6"/>
  <c r="G10" i="6"/>
  <c r="G11" i="6"/>
  <c r="G12" i="6"/>
  <c r="G13" i="6"/>
  <c r="G14" i="6"/>
  <c r="G15" i="6"/>
  <c r="G16" i="6"/>
  <c r="G17" i="6"/>
  <c r="G18" i="6"/>
  <c r="G19" i="6"/>
  <c r="G20" i="6"/>
  <c r="G21" i="6"/>
  <c r="F3" i="3"/>
  <c r="F4" i="3"/>
  <c r="F5" i="3"/>
  <c r="F2" i="3"/>
  <c r="E3" i="3"/>
  <c r="E4" i="3"/>
  <c r="E5" i="3"/>
  <c r="E2" i="3"/>
  <c r="D2" i="3"/>
  <c r="D3" i="3"/>
  <c r="D4" i="3"/>
  <c r="D5" i="3"/>
  <c r="C3" i="3"/>
  <c r="C4" i="3"/>
  <c r="C5" i="3"/>
  <c r="C2" i="3"/>
  <c r="B3" i="3"/>
  <c r="B4" i="3"/>
  <c r="B5" i="3"/>
  <c r="B2" i="3"/>
  <c r="C5" i="2"/>
  <c r="D2" i="2"/>
  <c r="C2" i="2"/>
  <c r="C7" i="3" l="1"/>
  <c r="B7" i="3"/>
</calcChain>
</file>

<file path=xl/sharedStrings.xml><?xml version="1.0" encoding="utf-8"?>
<sst xmlns="http://schemas.openxmlformats.org/spreadsheetml/2006/main" count="181" uniqueCount="56">
  <si>
    <t>Employee</t>
  </si>
  <si>
    <t>Department</t>
  </si>
  <si>
    <t xml:space="preserve">Salary </t>
  </si>
  <si>
    <t xml:space="preserve">Sales </t>
  </si>
  <si>
    <t>Region</t>
  </si>
  <si>
    <t>Hire_Date</t>
  </si>
  <si>
    <t>Ahmed Al Farsi</t>
  </si>
  <si>
    <t>Sales</t>
  </si>
  <si>
    <t>UAE</t>
  </si>
  <si>
    <t>Sara Malik</t>
  </si>
  <si>
    <t>HR</t>
  </si>
  <si>
    <t>John Okafor</t>
  </si>
  <si>
    <t xml:space="preserve">Finance </t>
  </si>
  <si>
    <t>KSA</t>
  </si>
  <si>
    <t>Priya Nair</t>
  </si>
  <si>
    <t>Tech</t>
  </si>
  <si>
    <t>Mohammed Al Amri</t>
  </si>
  <si>
    <t>Liu Wei</t>
  </si>
  <si>
    <t>Fatima Hassan</t>
  </si>
  <si>
    <t>Carlos Rivera</t>
  </si>
  <si>
    <t>Aisha Qureshi</t>
  </si>
  <si>
    <t>Daniel Mensah</t>
  </si>
  <si>
    <t>Nour Al Rashidi</t>
  </si>
  <si>
    <t>Tanya Iyer</t>
  </si>
  <si>
    <t>Omar Khalil</t>
  </si>
  <si>
    <t>Sophie Müller</t>
  </si>
  <si>
    <t>Bilal Siddiqui</t>
  </si>
  <si>
    <t>Riya Sharma</t>
  </si>
  <si>
    <t>Hamad Al Mansoori</t>
  </si>
  <si>
    <t>Elena Petrov</t>
  </si>
  <si>
    <t>Yusuf Abdi</t>
  </si>
  <si>
    <t xml:space="preserve">Mei Lin </t>
  </si>
  <si>
    <t>Employee Name</t>
  </si>
  <si>
    <t>LookupValue</t>
  </si>
  <si>
    <t>VLOOKUP - Salary</t>
  </si>
  <si>
    <t>INDEX-MATCH - Salary</t>
  </si>
  <si>
    <t>Column to return</t>
  </si>
  <si>
    <t>Two-way result</t>
  </si>
  <si>
    <t>Total Salary</t>
  </si>
  <si>
    <t>Average Salary</t>
  </si>
  <si>
    <t>Employee Count</t>
  </si>
  <si>
    <t>Total Sales (UAE only)</t>
  </si>
  <si>
    <t>High Earners (Salary &gt; 15000)</t>
  </si>
  <si>
    <t>TOTAL</t>
  </si>
  <si>
    <t>Performance_Tier</t>
  </si>
  <si>
    <t>Tier_IFS</t>
  </si>
  <si>
    <t>Bonus</t>
  </si>
  <si>
    <t>(All)</t>
  </si>
  <si>
    <t>Column Labels</t>
  </si>
  <si>
    <t>Total Total Salary</t>
  </si>
  <si>
    <t>Total Avg Salary</t>
  </si>
  <si>
    <t>Avg Salary</t>
  </si>
  <si>
    <t>Total Headcount</t>
  </si>
  <si>
    <t>Headcount</t>
  </si>
  <si>
    <t>Valid Regions</t>
  </si>
  <si>
    <t>Total Salary for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</si>
</sst>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AED]\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9" fontId="0" fillId="0" borderId="0" xfId="0" applyNumberFormat="1"/>
    <xf numFmtId="0" fontId="0" fillId="0" borderId="0" xfId="0" pivotButton="1"/>
    <xf numFmtId="0" fontId="0" fillId="0" borderId="0" xfId="0" applyNumberFormat="1"/>
  </cellXfs>
  <cellStyles count="1">
    <cellStyle name="Normal" xfId="0" builtinId="0"/>
  </cellStyles>
  <dxfs count="18">
    <dxf>
      <fill>
        <patternFill>
          <bgColor rgb="FFFF5050"/>
        </patternFill>
      </fill>
    </dxf>
    <dxf>
      <font>
        <color rgb="FF9C0006"/>
      </font>
      <fill>
        <patternFill>
          <bgColor rgb="FFFFC7CE"/>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7C80"/>
        </patternFill>
      </fill>
    </dxf>
    <dxf>
      <font>
        <color rgb="FF9C0006"/>
      </font>
      <fill>
        <patternFill>
          <bgColor rgb="FFFFC7CE"/>
        </patternFill>
      </fil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chartsheet" Target="chartsheets/sheet1.xml"/><Relationship Id="rId7" Type="http://schemas.openxmlformats.org/officeDocument/2006/relationships/worksheet" Target="worksheets/sheet6.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tyles" Target="styles.xml"/><Relationship Id="rId5" Type="http://schemas.openxmlformats.org/officeDocument/2006/relationships/worksheet" Target="worksheets/sheet4.xml"/><Relationship Id="rId10" Type="http://schemas.openxmlformats.org/officeDocument/2006/relationships/theme" Target="theme/theme1.xml"/><Relationship Id="rId4" Type="http://schemas.openxmlformats.org/officeDocument/2006/relationships/worksheet" Target="worksheets/sheet3.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[Excel_Pratice_Final.xlsx]Pivot!PivotTable1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by Department and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Pivot!$A$3:$A$5</c:f>
              <c:strCache>
                <c:ptCount val="1"/>
                <c:pt idx="0">
                  <c:v>KSA - Total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c:f>
              <c:strCache>
                <c:ptCount val="1"/>
                <c:pt idx="0">
                  <c:v>Total</c:v>
                </c:pt>
              </c:strCache>
            </c:strRef>
          </c:cat>
          <c:val>
            <c:numRef>
              <c:f>Pivot!$A$6</c:f>
              <c:numCache>
                <c:formatCode>General</c:formatCode>
                <c:ptCount val="1"/>
                <c:pt idx="0">
                  <c:v>109000</c:v>
                </c:pt>
              </c:numCache>
            </c:numRef>
          </c:val>
          <c:extLst>
            <c:ext xmlns:c16="http://schemas.microsoft.com/office/drawing/2014/chart" uri="{C3380CC4-5D6E-409C-BE32-E72D297353CC}">
              <c16:uniqueId val="{00000000-869D-4C3A-A501-D16E22629273}"/>
            </c:ext>
          </c:extLst>
        </c:ser>
        <c:ser>
          <c:idx val="1"/>
          <c:order val="1"/>
          <c:tx>
            <c:strRef>
              <c:f>Pivot!$B$3:$B$5</c:f>
              <c:strCache>
                <c:ptCount val="1"/>
                <c:pt idx="0">
                  <c:v>KSA - Headcount</c:v>
                </c:pt>
              </c:strCache>
            </c:strRef>
          </c:tx>
          <c:spPr>
            <a:solidFill>
              <a:schemeClr val="accent2"/>
            </a:solidFill>
            <a:ln>
              <a:noFill/>
            </a:ln>
            <a:effectLst/>
          </c:spPr>
          <c:invertIfNegative val="0"/>
          <c:cat>
            <c:strRef>
              <c:f>Pivot!$A$6</c:f>
              <c:strCache>
                <c:ptCount val="1"/>
                <c:pt idx="0">
                  <c:v>Total</c:v>
                </c:pt>
              </c:strCache>
            </c:strRef>
          </c:cat>
          <c:val>
            <c:numRef>
              <c:f>Pivot!$B$6</c:f>
              <c:numCache>
                <c:formatCode>General</c:formatCode>
                <c:ptCount val="1"/>
                <c:pt idx="0">
                  <c:v>7</c:v>
                </c:pt>
              </c:numCache>
            </c:numRef>
          </c:val>
          <c:extLst>
            <c:ext xmlns:c16="http://schemas.microsoft.com/office/drawing/2014/chart" uri="{C3380CC4-5D6E-409C-BE32-E72D297353CC}">
              <c16:uniqueId val="{00000001-869D-4C3A-A501-D16E22629273}"/>
            </c:ext>
          </c:extLst>
        </c:ser>
        <c:ser>
          <c:idx val="2"/>
          <c:order val="2"/>
          <c:tx>
            <c:strRef>
              <c:f>Pivot!$C$3:$C$5</c:f>
              <c:strCache>
                <c:ptCount val="1"/>
                <c:pt idx="0">
                  <c:v>KSA - Avg Salary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c:f>
              <c:strCache>
                <c:ptCount val="1"/>
                <c:pt idx="0">
                  <c:v>Total</c:v>
                </c:pt>
              </c:strCache>
            </c:strRef>
          </c:cat>
          <c:val>
            <c:numRef>
              <c:f>Pivot!$C$6</c:f>
              <c:numCache>
                <c:formatCode>General</c:formatCode>
                <c:ptCount val="1"/>
                <c:pt idx="0">
                  <c:v>15571.428571428571</c:v>
                </c:pt>
              </c:numCache>
            </c:numRef>
          </c:val>
          <c:extLst>
            <c:ext xmlns:c16="http://schemas.microsoft.com/office/drawing/2014/chart" uri="{C3380CC4-5D6E-409C-BE32-E72D297353CC}">
              <c16:uniqueId val="{00000002-869D-4C3A-A501-D16E22629273}"/>
            </c:ext>
          </c:extLst>
        </c:ser>
        <c:ser>
          <c:idx val="3"/>
          <c:order val="3"/>
          <c:tx>
            <c:strRef>
              <c:f>Pivot!$D$3:$D$5</c:f>
              <c:strCache>
                <c:ptCount val="1"/>
                <c:pt idx="0">
                  <c:v>UAE - Total Salary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c:f>
              <c:strCache>
                <c:ptCount val="1"/>
                <c:pt idx="0">
                  <c:v>Total</c:v>
                </c:pt>
              </c:strCache>
            </c:strRef>
          </c:cat>
          <c:val>
            <c:numRef>
              <c:f>Pivot!$D$6</c:f>
              <c:numCache>
                <c:formatCode>General</c:formatCode>
                <c:ptCount val="1"/>
                <c:pt idx="0">
                  <c:v>217400</c:v>
                </c:pt>
              </c:numCache>
            </c:numRef>
          </c:val>
          <c:extLst>
            <c:ext xmlns:c16="http://schemas.microsoft.com/office/drawing/2014/chart" uri="{C3380CC4-5D6E-409C-BE32-E72D297353CC}">
              <c16:uniqueId val="{00000003-869D-4C3A-A501-D16E22629273}"/>
            </c:ext>
          </c:extLst>
        </c:ser>
        <c:ser>
          <c:idx val="4"/>
          <c:order val="4"/>
          <c:tx>
            <c:strRef>
              <c:f>Pivot!$E$3:$E$5</c:f>
              <c:strCache>
                <c:ptCount val="1"/>
                <c:pt idx="0">
                  <c:v>UAE - Headcount</c:v>
                </c:pt>
              </c:strCache>
            </c:strRef>
          </c:tx>
          <c:spPr>
            <a:solidFill>
              <a:schemeClr val="accent5"/>
            </a:solidFill>
            <a:ln>
              <a:noFill/>
            </a:ln>
            <a:effectLst/>
          </c:spPr>
          <c:invertIfNegative val="0"/>
          <c:cat>
            <c:strRef>
              <c:f>Pivot!$A$6</c:f>
              <c:strCache>
                <c:ptCount val="1"/>
                <c:pt idx="0">
                  <c:v>Total</c:v>
                </c:pt>
              </c:strCache>
            </c:strRef>
          </c:cat>
          <c:val>
            <c:numRef>
              <c:f>Pivot!$E$6</c:f>
              <c:numCache>
                <c:formatCode>General</c:formatCode>
                <c:ptCount val="1"/>
                <c:pt idx="0">
                  <c:v>13</c:v>
                </c:pt>
              </c:numCache>
            </c:numRef>
          </c:val>
          <c:extLst>
            <c:ext xmlns:c16="http://schemas.microsoft.com/office/drawing/2014/chart" uri="{C3380CC4-5D6E-409C-BE32-E72D297353CC}">
              <c16:uniqueId val="{00000004-869D-4C3A-A501-D16E22629273}"/>
            </c:ext>
          </c:extLst>
        </c:ser>
        <c:ser>
          <c:idx val="5"/>
          <c:order val="5"/>
          <c:tx>
            <c:strRef>
              <c:f>Pivot!$F$3:$F$5</c:f>
              <c:strCache>
                <c:ptCount val="1"/>
                <c:pt idx="0">
                  <c:v>UAE - Avg Salary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c:f>
              <c:strCache>
                <c:ptCount val="1"/>
                <c:pt idx="0">
                  <c:v>Total</c:v>
                </c:pt>
              </c:strCache>
            </c:strRef>
          </c:cat>
          <c:val>
            <c:numRef>
              <c:f>Pivot!$F$6</c:f>
              <c:numCache>
                <c:formatCode>General</c:formatCode>
                <c:ptCount val="1"/>
                <c:pt idx="0">
                  <c:v>16723.076923076922</c:v>
                </c:pt>
              </c:numCache>
            </c:numRef>
          </c:val>
          <c:extLst>
            <c:ext xmlns:c16="http://schemas.microsoft.com/office/drawing/2014/chart" uri="{C3380CC4-5D6E-409C-BE32-E72D297353CC}">
              <c16:uniqueId val="{00000005-869D-4C3A-A501-D16E22629273}"/>
            </c:ext>
          </c:extLst>
        </c:ser>
        <c:dLbls>
          <c:showLegendKey val="0"/>
          <c:showVal val="0"/>
          <c:showCatName val="0"/>
          <c:showSerName val="0"/>
          <c:showPercent val="0"/>
          <c:showBubbleSize val="0"/>
        </c:dLbls>
        <c:gapWidth val="182"/>
        <c:axId val="478790576"/>
        <c:axId val="478809296"/>
      </c:barChart>
      <c:catAx>
        <c:axId val="47879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09296"/>
        <c:crosses val="autoZero"/>
        <c:auto val="1"/>
        <c:lblAlgn val="ctr"/>
        <c:lblOffset val="100"/>
        <c:noMultiLvlLbl val="0"/>
      </c:catAx>
      <c:valAx>
        <c:axId val="47880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9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A678004-C1BA-408E-88D5-849BC056A6B9}">
  <sheetPr/>
  <sheetViews>
    <sheetView zoomScale="5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8254" cy="6289524"/>
    <xdr:graphicFrame macro="">
      <xdr:nvGraphicFramePr>
        <xdr:cNvPr id="2" name="Chart 1">
          <a:extLst>
            <a:ext uri="{FF2B5EF4-FFF2-40B4-BE49-F238E27FC236}">
              <a16:creationId xmlns:a16="http://schemas.microsoft.com/office/drawing/2014/main" id="{48E15D75-A774-155D-BD39-5FBCDDD94B2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1</xdr:row>
      <xdr:rowOff>31751</xdr:rowOff>
    </xdr:from>
    <xdr:to>
      <xdr:col>12</xdr:col>
      <xdr:colOff>76200</xdr:colOff>
      <xdr:row>8</xdr:row>
      <xdr:rowOff>165101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3CFED995-7461-0BDA-0AA5-3D5AF95148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569450" y="21590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amt" refreshedDate="46201.891123842594" createdVersion="8" refreshedVersion="8" minRefreshableVersion="3" recordCount="20" xr:uid="{6B77A0A1-EC85-4C4E-A744-375F624F66EA}">
  <cacheSource type="worksheet">
    <worksheetSource name="EmployeeData"/>
  </cacheSource>
  <cacheFields count="9">
    <cacheField name="Employee" numFmtId="0">
      <sharedItems/>
    </cacheField>
    <cacheField name="Department" numFmtId="0">
      <sharedItems count="4">
        <s v="Sales"/>
        <s v="HR"/>
        <s v="Finance "/>
        <s v="Tech"/>
      </sharedItems>
    </cacheField>
    <cacheField name="Salary " numFmtId="0">
      <sharedItems containsSemiMixedTypes="0" containsString="0" containsNumber="1" containsInteger="1" minValue="7800" maxValue="31000"/>
    </cacheField>
    <cacheField name="Sales " numFmtId="0">
      <sharedItems containsSemiMixedTypes="0" containsString="0" containsNumber="1" containsInteger="1" minValue="0" maxValue="110000"/>
    </cacheField>
    <cacheField name="Region" numFmtId="0">
      <sharedItems count="2">
        <s v="UAE"/>
        <s v="KSA"/>
      </sharedItems>
    </cacheField>
    <cacheField name="Hire_Date" numFmtId="14">
      <sharedItems containsSemiMixedTypes="0" containsNonDate="0" containsDate="1" containsString="0" minDate="2017-01-01T00:00:00" maxDate="2023-10-12T00:00:00"/>
    </cacheField>
    <cacheField name="Performance_Tier" numFmtId="14">
      <sharedItems/>
    </cacheField>
    <cacheField name="Tier_IFS" numFmtId="0">
      <sharedItems/>
    </cacheField>
    <cacheField name="Bonus" numFmtId="0">
      <sharedItems containsSemiMixedTypes="0" containsString="0" containsNumber="1" containsInteger="1" minValue="390" maxValue="5500"/>
    </cacheField>
  </cacheFields>
  <extLst>
    <ext xmlns:x14="http://schemas.microsoft.com/office/spreadsheetml/2009/9/main" uri="{725AE2AE-9491-48be-B2B4-4EB974FC3084}">
      <x14:pivotCacheDefinition pivotCacheId="2078933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Ahmed Al Farsi"/>
    <x v="0"/>
    <n v="18500"/>
    <n v="95000"/>
    <x v="0"/>
    <d v="2020-03-01T00:00:00"/>
    <s v="High"/>
    <s v="High"/>
    <n v="4750"/>
  </r>
  <r>
    <s v="Sara Malik"/>
    <x v="1"/>
    <n v="9200"/>
    <n v="0"/>
    <x v="0"/>
    <d v="2019-06-15T00:00:00"/>
    <s v="Low"/>
    <s v="Low"/>
    <n v="460"/>
  </r>
  <r>
    <s v="John Okafor"/>
    <x v="2"/>
    <n v="14300"/>
    <n v="0"/>
    <x v="1"/>
    <d v="2021-09-22T00:00:00"/>
    <s v="Mid"/>
    <s v="Mid"/>
    <n v="715"/>
  </r>
  <r>
    <s v="Priya Nair"/>
    <x v="3"/>
    <n v="22000"/>
    <n v="0"/>
    <x v="0"/>
    <d v="2022-01-03T00:00:00"/>
    <s v="Elite"/>
    <s v="Elite"/>
    <n v="2200"/>
  </r>
  <r>
    <s v="Mohammed Al Amri"/>
    <x v="0"/>
    <n v="16700"/>
    <n v="82000"/>
    <x v="1"/>
    <d v="2018-04-10T00:00:00"/>
    <s v="High"/>
    <s v="High"/>
    <n v="4100"/>
  </r>
  <r>
    <s v="Liu Wei"/>
    <x v="3"/>
    <n v="25000"/>
    <n v="0"/>
    <x v="0"/>
    <d v="2023-08-07T00:00:00"/>
    <s v="Elite"/>
    <s v="Elite"/>
    <n v="2500"/>
  </r>
  <r>
    <s v="Fatima Hassan"/>
    <x v="0"/>
    <n v="11200"/>
    <n v="64000"/>
    <x v="0"/>
    <d v="2020-11-19T00:00:00"/>
    <s v="Mid"/>
    <s v="Mid"/>
    <n v="3200"/>
  </r>
  <r>
    <s v="Carlos Rivera"/>
    <x v="2"/>
    <n v="13800"/>
    <n v="0"/>
    <x v="1"/>
    <d v="2021-02-28T00:00:00"/>
    <s v="Mid"/>
    <s v="Mid"/>
    <n v="690"/>
  </r>
  <r>
    <s v="Aisha Qureshi"/>
    <x v="1"/>
    <n v="8500"/>
    <n v="0"/>
    <x v="0"/>
    <d v="2022-07-05T00:00:00"/>
    <s v="Low"/>
    <s v="Low"/>
    <n v="425"/>
  </r>
  <r>
    <s v="Daniel Mensah"/>
    <x v="3"/>
    <n v="19500"/>
    <n v="0"/>
    <x v="0"/>
    <d v="2019-03-14T00:00:00"/>
    <s v="High"/>
    <s v="High"/>
    <n v="975"/>
  </r>
  <r>
    <s v="Nour Al Rashidi"/>
    <x v="0"/>
    <n v="21000"/>
    <n v="110000"/>
    <x v="0"/>
    <d v="2017-01-01T00:00:00"/>
    <s v="Elite"/>
    <s v="Elite"/>
    <n v="5500"/>
  </r>
  <r>
    <s v="Tanya Iyer"/>
    <x v="2"/>
    <n v="15600"/>
    <n v="0"/>
    <x v="1"/>
    <d v="2020-05-30T00:00:00"/>
    <s v="High"/>
    <s v="High"/>
    <n v="780"/>
  </r>
  <r>
    <s v="Omar Khalil"/>
    <x v="1"/>
    <n v="7800"/>
    <n v="0"/>
    <x v="1"/>
    <d v="2023-10-11T00:00:00"/>
    <s v="Low"/>
    <s v="Low"/>
    <n v="390"/>
  </r>
  <r>
    <s v="Sophie Müller"/>
    <x v="3"/>
    <n v="28500"/>
    <n v="0"/>
    <x v="0"/>
    <d v="2021-06-22T00:00:00"/>
    <s v="Elite"/>
    <s v="Elite"/>
    <n v="2850"/>
  </r>
  <r>
    <s v="Bilal Siddiqui"/>
    <x v="0"/>
    <n v="13400"/>
    <n v="71000"/>
    <x v="0"/>
    <d v="2019-09-08T00:00:00"/>
    <s v="Mid"/>
    <s v="Mid"/>
    <n v="3550"/>
  </r>
  <r>
    <s v="Riya Sharma"/>
    <x v="2"/>
    <n v="17200"/>
    <n v="0"/>
    <x v="0"/>
    <d v="2018-12-17T00:00:00"/>
    <s v="High"/>
    <s v="High"/>
    <n v="860"/>
  </r>
  <r>
    <s v="Hamad Al Mansoori"/>
    <x v="3"/>
    <n v="31000"/>
    <n v="0"/>
    <x v="1"/>
    <d v="2022-04-04T00:00:00"/>
    <s v="Elite"/>
    <s v="Elite"/>
    <n v="3100"/>
  </r>
  <r>
    <s v="Elena Petrov"/>
    <x v="1"/>
    <n v="10500"/>
    <n v="0"/>
    <x v="0"/>
    <d v="2020-08-25T00:00:00"/>
    <s v="Mid"/>
    <s v="Mid"/>
    <n v="525"/>
  </r>
  <r>
    <s v="Yusuf Abdi"/>
    <x v="0"/>
    <n v="9800"/>
    <n v="52000"/>
    <x v="1"/>
    <d v="2023-02-12T00:00:00"/>
    <s v="Low"/>
    <s v="Low"/>
    <n v="2600"/>
  </r>
  <r>
    <s v="Mei Lin "/>
    <x v="2"/>
    <n v="12900"/>
    <n v="0"/>
    <x v="0"/>
    <d v="2021-11-06T00:00:00"/>
    <s v="Mid"/>
    <s v="Mid"/>
    <n v="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A67D2-B358-4008-8FA3-1284BA1DB12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I6" firstHeaderRow="1" firstDataRow="3" firstDataCol="0" rowPageCount="1" colPageCount="1"/>
  <pivotFields count="9">
    <pivotField showAll="0"/>
    <pivotField axis="axisPage" showAll="0">
      <items count="5">
        <item x="2"/>
        <item x="1"/>
        <item x="0"/>
        <item x="3"/>
        <item t="default"/>
      </items>
    </pivotField>
    <pivotField dataField="1" showAll="0"/>
    <pivotField showAll="0"/>
    <pivotField axis="axisCol" showAll="0">
      <items count="3">
        <item x="1"/>
        <item x="0"/>
        <item t="default"/>
      </items>
    </pivotField>
    <pivotField numFmtId="14" showAll="0"/>
    <pivotField showAll="0"/>
    <pivotField showAll="0"/>
    <pivotField showAll="0"/>
  </pivotFields>
  <rowItems count="1">
    <i/>
  </rowItems>
  <colFields count="2">
    <field x="4"/>
    <field x="-2"/>
  </colFields>
  <colItems count="9">
    <i>
      <x/>
      <x/>
    </i>
    <i r="1" i="1">
      <x v="1"/>
    </i>
    <i r="1" i="2">
      <x v="2"/>
    </i>
    <i>
      <x v="1"/>
      <x/>
    </i>
    <i r="1" i="1">
      <x v="1"/>
    </i>
    <i r="1" i="2">
      <x v="2"/>
    </i>
    <i t="grand">
      <x/>
    </i>
    <i t="grand" i="1">
      <x/>
    </i>
    <i t="grand" i="2">
      <x/>
    </i>
  </colItems>
  <pageFields count="1">
    <pageField fld="1" hier="-1"/>
  </pageFields>
  <dataFields count="3">
    <dataField name="Total Salary" fld="2" baseField="4" baseItem="0"/>
    <dataField name="Headcount" fld="2" subtotal="count" baseField="4" baseItem="0"/>
    <dataField name="Avg Salary" fld="2" subtotal="average" baseField="4" baseItem="0"/>
  </dataFields>
  <chartFormats count="6">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1"/>
          </reference>
          <reference field="4" count="1" selected="0">
            <x v="0"/>
          </reference>
        </references>
      </pivotArea>
    </chartFormat>
    <chartFormat chart="2" format="8" series="1">
      <pivotArea type="data" outline="0" fieldPosition="0">
        <references count="2">
          <reference field="4294967294" count="1" selected="0">
            <x v="2"/>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1"/>
          </reference>
          <reference field="4" count="1" selected="0">
            <x v="1"/>
          </reference>
        </references>
      </pivotArea>
    </chartFormat>
    <chartFormat chart="2" format="11" series="1">
      <pivotArea type="data" outline="0" fieldPosition="0">
        <references count="2">
          <reference field="4294967294"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359F23B-9BF5-4AD8-AC32-954856A0F505}" sourceName="Department">
  <pivotTables>
    <pivotTable tabId="4" name="PivotTable1"/>
  </pivotTables>
  <data>
    <tabular pivotCacheId="207893386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23E9656-57EF-41BF-8ED2-3611469A0DC7}"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86A8F-A625-496E-99A3-A23EBC310A0F}" name="EmployeeData" displayName="EmployeeData" ref="A1:I21" totalsRowShown="0">
  <autoFilter ref="A1:I21" xr:uid="{38E86A8F-A625-496E-99A3-A23EBC310A0F}"/>
  <tableColumns count="9">
    <tableColumn id="1" xr3:uid="{C9BE9992-2005-4AE9-BE92-9D6694F5C618}" name="Employee"/>
    <tableColumn id="2" xr3:uid="{F3CBE04D-6A00-4DFF-8B61-6B6AC065D46B}" name="Department"/>
    <tableColumn id="3" xr3:uid="{1D420EAE-03DD-47E7-98FB-83235C6E9A4C}" name="Salary "/>
    <tableColumn id="4" xr3:uid="{EC7FE734-892C-448D-B34D-9A141A3F6FBA}" name="Sales "/>
    <tableColumn id="5" xr3:uid="{B20C9705-C3C5-44F9-8C7C-FBCB267C16FD}" name="Region"/>
    <tableColumn id="6" xr3:uid="{35C1E489-68AA-45AD-A418-8AAC5404E9E5}" name="Hire_Date" dataDxfId="17"/>
    <tableColumn id="7" xr3:uid="{85D53E28-87AB-4A07-9FFC-7AA781C0B42B}" name="Performance_Tier" dataDxfId="16">
      <calculatedColumnFormula>IF(C2&gt;20000,"Elite",IF(C2&gt;15000,"High",IF(C2&gt;10000,"Mid",IF(C2&gt;5000,"Low","Entry"))))</calculatedColumnFormula>
    </tableColumn>
    <tableColumn id="8" xr3:uid="{7898ADFA-B60B-474C-B2C6-3CD8095F14EA}" name="Tier_IFS" dataDxfId="15">
      <calculatedColumnFormula>_xlfn.IFS(C2&gt;20000,"Elite",C2&gt;15000,"High",C2&gt;10000,"Mid",C2&gt;5000,"Low",TRUE,"Entry")</calculatedColumnFormula>
    </tableColumn>
    <tableColumn id="9" xr3:uid="{E146F370-532C-4891-896E-1AD84A39C983}" name="Bonus" dataDxfId="14">
      <calculatedColumnFormula>IF(B2="Sales",D2*0.05,IF(C2&gt;20000,C2*0.1,C2*0.05))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1A2009-27C2-49B8-8AA2-46F2D2B8A1DA}" name="EmployeeData4" displayName="EmployeeData4" ref="A1:I21" totalsRowShown="0">
  <autoFilter ref="A1:I21" xr:uid="{E31A2009-27C2-49B8-8AA2-46F2D2B8A1DA}"/>
  <tableColumns count="9">
    <tableColumn id="1" xr3:uid="{90FC14A1-F027-413A-B230-96137E7D18B3}" name="Employee"/>
    <tableColumn id="2" xr3:uid="{0BC37244-10E9-40BC-AF3F-2C19401F7470}" name="Department"/>
    <tableColumn id="3" xr3:uid="{26C12423-AB94-4433-96F1-81189C4446BF}" name="Salary "/>
    <tableColumn id="4" xr3:uid="{D02E1D49-B831-4099-9ADF-D41E46969356}" name="Sales "/>
    <tableColumn id="5" xr3:uid="{CE8AF402-DEE0-4EBC-8F3D-2A428A5FA035}" name="Region"/>
    <tableColumn id="6" xr3:uid="{33F7B472-C64C-4E76-AE46-6C20EC3A628C}" name="Hire_Date" dataDxfId="13"/>
    <tableColumn id="7" xr3:uid="{1B4B4007-6010-47C3-B061-54C1D23D1FD6}" name="Performance_Tier" dataDxfId="12">
      <calculatedColumnFormula>IF(C2&gt;20000,"Elite",IF(C2&gt;15000,"High",IF(C2&gt;10000,"Mid",IF(C2&gt;5000,"Low","Entry"))))</calculatedColumnFormula>
    </tableColumn>
    <tableColumn id="8" xr3:uid="{A0CC6179-6436-44D8-B4BE-2D348182FC2B}" name="Tier_IFS" dataDxfId="11">
      <calculatedColumnFormula>_xlfn.IFS(C2&gt;20000,"Elite",C2&gt;15000,"High",C2&gt;10000,"Mid",C2&gt;5000,"Low",TRUE,"Entry")</calculatedColumnFormula>
    </tableColumn>
    <tableColumn id="9" xr3:uid="{74CE9049-AA43-4E0D-9AED-C416EC6F7631}" name="Bonus" dataDxfId="10">
      <calculatedColumnFormula>IF(B2="Sales",D2*0.05,IF(C2&gt;20000,C2*0.1,C2*0.05))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FD50-3630-44C5-B6F7-BA48C5BCB18B}">
  <dimension ref="A1:I21"/>
  <sheetViews>
    <sheetView workbookViewId="0">
      <selection activeCell="K11" sqref="K11"/>
    </sheetView>
  </sheetViews>
  <sheetFormatPr defaultRowHeight="14.5" x14ac:dyDescent="0.35"/>
  <cols>
    <col min="1" max="1" width="17.453125" customWidth="1"/>
    <col min="2" max="2" width="13.36328125" customWidth="1"/>
    <col min="6" max="6" width="11.26953125" style="1" customWidth="1"/>
    <col min="7" max="7" width="10.453125" bestFit="1" customWidth="1"/>
  </cols>
  <sheetData>
    <row r="1" spans="1:9" x14ac:dyDescent="0.35">
      <c r="A1" t="s">
        <v>0</v>
      </c>
      <c r="B1" t="s">
        <v>1</v>
      </c>
      <c r="C1" t="s">
        <v>2</v>
      </c>
      <c r="D1" t="s">
        <v>3</v>
      </c>
      <c r="E1" t="s">
        <v>4</v>
      </c>
      <c r="F1" s="1" t="s">
        <v>5</v>
      </c>
      <c r="G1" t="s">
        <v>44</v>
      </c>
      <c r="H1" t="s">
        <v>45</v>
      </c>
      <c r="I1" t="s">
        <v>46</v>
      </c>
    </row>
    <row r="2" spans="1:9" x14ac:dyDescent="0.35">
      <c r="A2" t="s">
        <v>6</v>
      </c>
      <c r="B2" t="s">
        <v>7</v>
      </c>
      <c r="C2">
        <v>18500</v>
      </c>
      <c r="D2">
        <v>95000</v>
      </c>
      <c r="E2" t="s">
        <v>8</v>
      </c>
      <c r="F2" s="1">
        <v>43891</v>
      </c>
      <c r="G2" s="1" t="str">
        <f t="shared" ref="G2:G21" si="0">IF(C2&gt;20000,"Elite",IF(C2&gt;15000,"High",IF(C2&gt;10000,"Mid",IF(C2&gt;5000,"Low","Entry"))))</f>
        <v>High</v>
      </c>
      <c r="H2" t="str">
        <f>_xlfn.IFS(C2&gt;20000,"Elite",C2&gt;15000,"High",C2&gt;10000,"Mid",C2&gt;5000,"Low",TRUE,"Entry")</f>
        <v>High</v>
      </c>
      <c r="I2">
        <f t="shared" ref="I2:I21" si="1">IF(B2="Sales",D2*0.05,IF(C2&gt;20000,C2*0.1,C2*0.05))</f>
        <v>4750</v>
      </c>
    </row>
    <row r="3" spans="1:9" x14ac:dyDescent="0.35">
      <c r="A3" t="s">
        <v>9</v>
      </c>
      <c r="B3" t="s">
        <v>10</v>
      </c>
      <c r="C3">
        <v>9200</v>
      </c>
      <c r="D3">
        <v>0</v>
      </c>
      <c r="E3" t="s">
        <v>8</v>
      </c>
      <c r="F3" s="1">
        <v>43631</v>
      </c>
      <c r="G3" s="1" t="str">
        <f t="shared" si="0"/>
        <v>Low</v>
      </c>
      <c r="H3" t="str">
        <f t="shared" ref="H2:H21" si="2">_xlfn.IFS(C3&gt;20000,"Elite",C3&gt;15000,"High",C3&gt;10000,"Mid",C3&gt;5000,"Low",TRUE,"Entry")</f>
        <v>Low</v>
      </c>
      <c r="I3">
        <f t="shared" si="1"/>
        <v>460</v>
      </c>
    </row>
    <row r="4" spans="1:9" x14ac:dyDescent="0.35">
      <c r="A4" t="s">
        <v>11</v>
      </c>
      <c r="B4" t="s">
        <v>12</v>
      </c>
      <c r="C4">
        <v>14300</v>
      </c>
      <c r="D4">
        <v>0</v>
      </c>
      <c r="E4" t="s">
        <v>13</v>
      </c>
      <c r="F4" s="1">
        <v>44461</v>
      </c>
      <c r="G4" s="1" t="str">
        <f t="shared" si="0"/>
        <v>Mid</v>
      </c>
      <c r="H4" t="str">
        <f t="shared" si="2"/>
        <v>Mid</v>
      </c>
      <c r="I4">
        <f t="shared" si="1"/>
        <v>715</v>
      </c>
    </row>
    <row r="5" spans="1:9" x14ac:dyDescent="0.35">
      <c r="A5" t="s">
        <v>14</v>
      </c>
      <c r="B5" t="s">
        <v>15</v>
      </c>
      <c r="C5">
        <v>22000</v>
      </c>
      <c r="D5">
        <v>0</v>
      </c>
      <c r="E5" t="s">
        <v>8</v>
      </c>
      <c r="F5" s="1">
        <v>44564</v>
      </c>
      <c r="G5" s="1" t="str">
        <f t="shared" si="0"/>
        <v>Elite</v>
      </c>
      <c r="H5" t="str">
        <f t="shared" si="2"/>
        <v>Elite</v>
      </c>
      <c r="I5">
        <f t="shared" si="1"/>
        <v>2200</v>
      </c>
    </row>
    <row r="6" spans="1:9" x14ac:dyDescent="0.35">
      <c r="A6" t="s">
        <v>16</v>
      </c>
      <c r="B6" t="s">
        <v>7</v>
      </c>
      <c r="C6">
        <v>16700</v>
      </c>
      <c r="D6">
        <v>82000</v>
      </c>
      <c r="E6" t="s">
        <v>13</v>
      </c>
      <c r="F6" s="1">
        <v>43200</v>
      </c>
      <c r="G6" s="1" t="str">
        <f t="shared" si="0"/>
        <v>High</v>
      </c>
      <c r="H6" t="str">
        <f t="shared" si="2"/>
        <v>High</v>
      </c>
      <c r="I6">
        <f t="shared" si="1"/>
        <v>4100</v>
      </c>
    </row>
    <row r="7" spans="1:9" x14ac:dyDescent="0.35">
      <c r="A7" t="s">
        <v>17</v>
      </c>
      <c r="B7" t="s">
        <v>15</v>
      </c>
      <c r="C7">
        <v>25000</v>
      </c>
      <c r="D7">
        <v>0</v>
      </c>
      <c r="E7" t="s">
        <v>8</v>
      </c>
      <c r="F7" s="1">
        <v>45145</v>
      </c>
      <c r="G7" s="1" t="str">
        <f t="shared" si="0"/>
        <v>Elite</v>
      </c>
      <c r="H7" t="str">
        <f t="shared" si="2"/>
        <v>Elite</v>
      </c>
      <c r="I7">
        <f t="shared" si="1"/>
        <v>2500</v>
      </c>
    </row>
    <row r="8" spans="1:9" x14ac:dyDescent="0.35">
      <c r="A8" t="s">
        <v>18</v>
      </c>
      <c r="B8" t="s">
        <v>7</v>
      </c>
      <c r="C8">
        <v>11200</v>
      </c>
      <c r="D8">
        <v>64000</v>
      </c>
      <c r="E8" t="s">
        <v>8</v>
      </c>
      <c r="F8" s="1">
        <v>44154</v>
      </c>
      <c r="G8" s="1" t="str">
        <f t="shared" si="0"/>
        <v>Mid</v>
      </c>
      <c r="H8" t="str">
        <f t="shared" si="2"/>
        <v>Mid</v>
      </c>
      <c r="I8">
        <f t="shared" si="1"/>
        <v>3200</v>
      </c>
    </row>
    <row r="9" spans="1:9" x14ac:dyDescent="0.35">
      <c r="A9" t="s">
        <v>19</v>
      </c>
      <c r="B9" t="s">
        <v>12</v>
      </c>
      <c r="C9">
        <v>13800</v>
      </c>
      <c r="D9">
        <v>0</v>
      </c>
      <c r="E9" t="s">
        <v>13</v>
      </c>
      <c r="F9" s="1">
        <v>44255</v>
      </c>
      <c r="G9" s="1" t="str">
        <f t="shared" si="0"/>
        <v>Mid</v>
      </c>
      <c r="H9" t="str">
        <f t="shared" si="2"/>
        <v>Mid</v>
      </c>
      <c r="I9">
        <f t="shared" si="1"/>
        <v>690</v>
      </c>
    </row>
    <row r="10" spans="1:9" x14ac:dyDescent="0.35">
      <c r="A10" t="s">
        <v>20</v>
      </c>
      <c r="B10" t="s">
        <v>10</v>
      </c>
      <c r="C10">
        <v>8500</v>
      </c>
      <c r="D10">
        <v>0</v>
      </c>
      <c r="E10" t="s">
        <v>8</v>
      </c>
      <c r="F10" s="1">
        <v>44747</v>
      </c>
      <c r="G10" s="1" t="str">
        <f t="shared" si="0"/>
        <v>Low</v>
      </c>
      <c r="H10" t="str">
        <f t="shared" si="2"/>
        <v>Low</v>
      </c>
      <c r="I10">
        <f t="shared" si="1"/>
        <v>425</v>
      </c>
    </row>
    <row r="11" spans="1:9" x14ac:dyDescent="0.35">
      <c r="A11" t="s">
        <v>21</v>
      </c>
      <c r="B11" t="s">
        <v>15</v>
      </c>
      <c r="C11">
        <v>19500</v>
      </c>
      <c r="D11">
        <v>0</v>
      </c>
      <c r="E11" t="s">
        <v>8</v>
      </c>
      <c r="F11" s="1">
        <v>43538</v>
      </c>
      <c r="G11" s="1" t="str">
        <f t="shared" si="0"/>
        <v>High</v>
      </c>
      <c r="H11" t="str">
        <f t="shared" si="2"/>
        <v>High</v>
      </c>
      <c r="I11">
        <f t="shared" si="1"/>
        <v>975</v>
      </c>
    </row>
    <row r="12" spans="1:9" x14ac:dyDescent="0.35">
      <c r="A12" t="s">
        <v>22</v>
      </c>
      <c r="B12" t="s">
        <v>7</v>
      </c>
      <c r="C12">
        <v>21000</v>
      </c>
      <c r="D12">
        <v>110000</v>
      </c>
      <c r="E12" t="s">
        <v>8</v>
      </c>
      <c r="F12" s="1">
        <v>42736</v>
      </c>
      <c r="G12" s="1" t="str">
        <f t="shared" si="0"/>
        <v>Elite</v>
      </c>
      <c r="H12" t="str">
        <f t="shared" si="2"/>
        <v>Elite</v>
      </c>
      <c r="I12">
        <f t="shared" si="1"/>
        <v>5500</v>
      </c>
    </row>
    <row r="13" spans="1:9" x14ac:dyDescent="0.35">
      <c r="A13" t="s">
        <v>23</v>
      </c>
      <c r="B13" t="s">
        <v>12</v>
      </c>
      <c r="C13">
        <v>15600</v>
      </c>
      <c r="D13">
        <v>0</v>
      </c>
      <c r="E13" t="s">
        <v>13</v>
      </c>
      <c r="F13" s="1">
        <v>43981</v>
      </c>
      <c r="G13" s="1" t="str">
        <f t="shared" si="0"/>
        <v>High</v>
      </c>
      <c r="H13" t="str">
        <f t="shared" si="2"/>
        <v>High</v>
      </c>
      <c r="I13">
        <f t="shared" si="1"/>
        <v>780</v>
      </c>
    </row>
    <row r="14" spans="1:9" x14ac:dyDescent="0.35">
      <c r="A14" t="s">
        <v>24</v>
      </c>
      <c r="B14" t="s">
        <v>10</v>
      </c>
      <c r="C14">
        <v>7800</v>
      </c>
      <c r="D14">
        <v>0</v>
      </c>
      <c r="E14" t="s">
        <v>13</v>
      </c>
      <c r="F14" s="1">
        <v>45210</v>
      </c>
      <c r="G14" s="1" t="str">
        <f t="shared" si="0"/>
        <v>Low</v>
      </c>
      <c r="H14" t="str">
        <f t="shared" si="2"/>
        <v>Low</v>
      </c>
      <c r="I14">
        <f t="shared" si="1"/>
        <v>390</v>
      </c>
    </row>
    <row r="15" spans="1:9" x14ac:dyDescent="0.35">
      <c r="A15" t="s">
        <v>25</v>
      </c>
      <c r="B15" t="s">
        <v>15</v>
      </c>
      <c r="C15">
        <v>28500</v>
      </c>
      <c r="D15">
        <v>0</v>
      </c>
      <c r="E15" t="s">
        <v>8</v>
      </c>
      <c r="F15" s="1">
        <v>44369</v>
      </c>
      <c r="G15" s="1" t="str">
        <f t="shared" si="0"/>
        <v>Elite</v>
      </c>
      <c r="H15" t="str">
        <f t="shared" si="2"/>
        <v>Elite</v>
      </c>
      <c r="I15">
        <f t="shared" si="1"/>
        <v>2850</v>
      </c>
    </row>
    <row r="16" spans="1:9" x14ac:dyDescent="0.35">
      <c r="A16" t="s">
        <v>26</v>
      </c>
      <c r="B16" t="s">
        <v>7</v>
      </c>
      <c r="C16">
        <v>13400</v>
      </c>
      <c r="D16">
        <v>71000</v>
      </c>
      <c r="E16" t="s">
        <v>8</v>
      </c>
      <c r="F16" s="1">
        <v>43716</v>
      </c>
      <c r="G16" s="1" t="str">
        <f t="shared" si="0"/>
        <v>Mid</v>
      </c>
      <c r="H16" t="str">
        <f t="shared" si="2"/>
        <v>Mid</v>
      </c>
      <c r="I16">
        <f t="shared" si="1"/>
        <v>3550</v>
      </c>
    </row>
    <row r="17" spans="1:9" x14ac:dyDescent="0.35">
      <c r="A17" t="s">
        <v>27</v>
      </c>
      <c r="B17" t="s">
        <v>12</v>
      </c>
      <c r="C17">
        <v>17200</v>
      </c>
      <c r="D17">
        <v>0</v>
      </c>
      <c r="E17" t="s">
        <v>8</v>
      </c>
      <c r="F17" s="1">
        <v>43451</v>
      </c>
      <c r="G17" s="1" t="str">
        <f t="shared" si="0"/>
        <v>High</v>
      </c>
      <c r="H17" t="str">
        <f t="shared" si="2"/>
        <v>High</v>
      </c>
      <c r="I17">
        <f t="shared" si="1"/>
        <v>860</v>
      </c>
    </row>
    <row r="18" spans="1:9" x14ac:dyDescent="0.35">
      <c r="A18" t="s">
        <v>28</v>
      </c>
      <c r="B18" t="s">
        <v>15</v>
      </c>
      <c r="C18">
        <v>31000</v>
      </c>
      <c r="D18">
        <v>0</v>
      </c>
      <c r="E18" t="s">
        <v>13</v>
      </c>
      <c r="F18" s="1">
        <v>44655</v>
      </c>
      <c r="G18" s="1" t="str">
        <f t="shared" si="0"/>
        <v>Elite</v>
      </c>
      <c r="H18" t="str">
        <f t="shared" si="2"/>
        <v>Elite</v>
      </c>
      <c r="I18">
        <f t="shared" si="1"/>
        <v>3100</v>
      </c>
    </row>
    <row r="19" spans="1:9" x14ac:dyDescent="0.35">
      <c r="A19" t="s">
        <v>29</v>
      </c>
      <c r="B19" t="s">
        <v>10</v>
      </c>
      <c r="C19">
        <v>10500</v>
      </c>
      <c r="D19">
        <v>0</v>
      </c>
      <c r="E19" t="s">
        <v>8</v>
      </c>
      <c r="F19" s="1">
        <v>44068</v>
      </c>
      <c r="G19" s="1" t="str">
        <f t="shared" si="0"/>
        <v>Mid</v>
      </c>
      <c r="H19" t="str">
        <f t="shared" si="2"/>
        <v>Mid</v>
      </c>
      <c r="I19">
        <f t="shared" si="1"/>
        <v>525</v>
      </c>
    </row>
    <row r="20" spans="1:9" x14ac:dyDescent="0.35">
      <c r="A20" t="s">
        <v>30</v>
      </c>
      <c r="B20" t="s">
        <v>7</v>
      </c>
      <c r="C20">
        <v>9800</v>
      </c>
      <c r="D20">
        <v>52000</v>
      </c>
      <c r="E20" t="s">
        <v>13</v>
      </c>
      <c r="F20" s="1">
        <v>44969</v>
      </c>
      <c r="G20" s="1" t="str">
        <f t="shared" si="0"/>
        <v>Low</v>
      </c>
      <c r="H20" t="str">
        <f t="shared" si="2"/>
        <v>Low</v>
      </c>
      <c r="I20">
        <f t="shared" si="1"/>
        <v>2600</v>
      </c>
    </row>
    <row r="21" spans="1:9" x14ac:dyDescent="0.35">
      <c r="A21" t="s">
        <v>31</v>
      </c>
      <c r="B21" t="s">
        <v>12</v>
      </c>
      <c r="C21">
        <v>12900</v>
      </c>
      <c r="D21">
        <v>0</v>
      </c>
      <c r="E21" t="s">
        <v>8</v>
      </c>
      <c r="F21" s="1">
        <v>44506</v>
      </c>
      <c r="G21" s="1" t="str">
        <f t="shared" si="0"/>
        <v>Mid</v>
      </c>
      <c r="H21" t="str">
        <f t="shared" si="2"/>
        <v>Mid</v>
      </c>
      <c r="I21">
        <f t="shared" si="1"/>
        <v>645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B68F-6F04-4296-92CA-F1593ABB2852}">
  <dimension ref="A1:I21"/>
  <sheetViews>
    <sheetView workbookViewId="0">
      <selection activeCell="D1" sqref="D1:D1048576"/>
    </sheetView>
  </sheetViews>
  <sheetFormatPr defaultRowHeight="14.5" x14ac:dyDescent="0.35"/>
  <cols>
    <col min="1" max="1" width="17.453125" customWidth="1"/>
    <col min="2" max="2" width="13.36328125" customWidth="1"/>
    <col min="6" max="6" width="11.26953125" style="1" customWidth="1"/>
    <col min="7" max="7" width="10.453125" bestFit="1" customWidth="1"/>
  </cols>
  <sheetData>
    <row r="1" spans="1:9" x14ac:dyDescent="0.35">
      <c r="A1" t="s">
        <v>0</v>
      </c>
      <c r="B1" t="s">
        <v>1</v>
      </c>
      <c r="C1" t="s">
        <v>2</v>
      </c>
      <c r="D1" t="s">
        <v>3</v>
      </c>
      <c r="E1" t="s">
        <v>4</v>
      </c>
      <c r="F1" s="1" t="s">
        <v>5</v>
      </c>
      <c r="G1" t="s">
        <v>44</v>
      </c>
      <c r="H1" t="s">
        <v>45</v>
      </c>
      <c r="I1" t="s">
        <v>46</v>
      </c>
    </row>
    <row r="2" spans="1:9" x14ac:dyDescent="0.35">
      <c r="A2" t="s">
        <v>6</v>
      </c>
      <c r="B2" t="s">
        <v>7</v>
      </c>
      <c r="C2">
        <v>18500</v>
      </c>
      <c r="D2">
        <v>95000</v>
      </c>
      <c r="E2" t="s">
        <v>8</v>
      </c>
      <c r="F2" s="1">
        <v>43891</v>
      </c>
      <c r="G2" s="1" t="str">
        <f t="shared" ref="G2:G21" si="0">IF(C2&gt;20000,"Elite",IF(C2&gt;15000,"High",IF(C2&gt;10000,"Mid",IF(C2&gt;5000,"Low","Entry"))))</f>
        <v>High</v>
      </c>
      <c r="H2" t="str">
        <f>_xlfn.IFS(C2&gt;20000,"Elite",C2&gt;15000,"High",C2&gt;10000,"Mid",C2&gt;5000,"Low",TRUE,"Entry")</f>
        <v>High</v>
      </c>
      <c r="I2">
        <f t="shared" ref="I2:I21" si="1">IF(B2="Sales",D2*0.05,IF(C2&gt;20000,C2*0.1,C2*0.05))</f>
        <v>4750</v>
      </c>
    </row>
    <row r="3" spans="1:9" x14ac:dyDescent="0.35">
      <c r="A3" t="s">
        <v>9</v>
      </c>
      <c r="B3" t="s">
        <v>10</v>
      </c>
      <c r="C3">
        <v>9200</v>
      </c>
      <c r="D3">
        <v>0</v>
      </c>
      <c r="E3" t="s">
        <v>8</v>
      </c>
      <c r="F3" s="1">
        <v>43631</v>
      </c>
      <c r="G3" s="1" t="str">
        <f t="shared" si="0"/>
        <v>Low</v>
      </c>
      <c r="H3" t="str">
        <f t="shared" ref="H3:H22" si="2">_xlfn.IFS(C3&gt;20000,"Elite",C3&gt;15000,"High",C3&gt;10000,"Mid",C3&gt;5000,"Low",TRUE,"Entry")</f>
        <v>Low</v>
      </c>
      <c r="I3">
        <f t="shared" si="1"/>
        <v>460</v>
      </c>
    </row>
    <row r="4" spans="1:9" x14ac:dyDescent="0.35">
      <c r="A4" t="s">
        <v>11</v>
      </c>
      <c r="B4" t="s">
        <v>12</v>
      </c>
      <c r="C4">
        <v>14300</v>
      </c>
      <c r="D4">
        <v>0</v>
      </c>
      <c r="E4" t="s">
        <v>13</v>
      </c>
      <c r="F4" s="1">
        <v>44461</v>
      </c>
      <c r="G4" s="1" t="str">
        <f t="shared" si="0"/>
        <v>Mid</v>
      </c>
      <c r="H4" t="str">
        <f t="shared" si="2"/>
        <v>Mid</v>
      </c>
      <c r="I4">
        <f t="shared" si="1"/>
        <v>715</v>
      </c>
    </row>
    <row r="5" spans="1:9" x14ac:dyDescent="0.35">
      <c r="A5" t="s">
        <v>14</v>
      </c>
      <c r="B5" t="s">
        <v>15</v>
      </c>
      <c r="C5">
        <v>22000</v>
      </c>
      <c r="D5">
        <v>0</v>
      </c>
      <c r="E5" t="s">
        <v>8</v>
      </c>
      <c r="F5" s="1">
        <v>44564</v>
      </c>
      <c r="G5" s="1" t="str">
        <f t="shared" si="0"/>
        <v>Elite</v>
      </c>
      <c r="H5" t="str">
        <f t="shared" si="2"/>
        <v>Elite</v>
      </c>
      <c r="I5">
        <f t="shared" si="1"/>
        <v>2200</v>
      </c>
    </row>
    <row r="6" spans="1:9" x14ac:dyDescent="0.35">
      <c r="A6" t="s">
        <v>16</v>
      </c>
      <c r="B6" t="s">
        <v>7</v>
      </c>
      <c r="C6">
        <v>16700</v>
      </c>
      <c r="D6">
        <v>82000</v>
      </c>
      <c r="E6" t="s">
        <v>13</v>
      </c>
      <c r="F6" s="1">
        <v>43200</v>
      </c>
      <c r="G6" s="1" t="str">
        <f t="shared" si="0"/>
        <v>High</v>
      </c>
      <c r="H6" t="str">
        <f t="shared" si="2"/>
        <v>High</v>
      </c>
      <c r="I6">
        <f t="shared" si="1"/>
        <v>4100</v>
      </c>
    </row>
    <row r="7" spans="1:9" x14ac:dyDescent="0.35">
      <c r="A7" t="s">
        <v>17</v>
      </c>
      <c r="B7" t="s">
        <v>15</v>
      </c>
      <c r="C7">
        <v>25000</v>
      </c>
      <c r="D7">
        <v>0</v>
      </c>
      <c r="E7" t="s">
        <v>8</v>
      </c>
      <c r="F7" s="1">
        <v>45145</v>
      </c>
      <c r="G7" s="1" t="str">
        <f t="shared" si="0"/>
        <v>Elite</v>
      </c>
      <c r="H7" t="str">
        <f t="shared" si="2"/>
        <v>Elite</v>
      </c>
      <c r="I7">
        <f t="shared" si="1"/>
        <v>2500</v>
      </c>
    </row>
    <row r="8" spans="1:9" x14ac:dyDescent="0.35">
      <c r="A8" t="s">
        <v>18</v>
      </c>
      <c r="B8" t="s">
        <v>7</v>
      </c>
      <c r="C8">
        <v>11200</v>
      </c>
      <c r="D8">
        <v>64000</v>
      </c>
      <c r="E8" t="s">
        <v>8</v>
      </c>
      <c r="F8" s="1">
        <v>44154</v>
      </c>
      <c r="G8" s="1" t="str">
        <f t="shared" si="0"/>
        <v>Mid</v>
      </c>
      <c r="H8" t="str">
        <f t="shared" si="2"/>
        <v>Mid</v>
      </c>
      <c r="I8">
        <f t="shared" si="1"/>
        <v>3200</v>
      </c>
    </row>
    <row r="9" spans="1:9" x14ac:dyDescent="0.35">
      <c r="A9" t="s">
        <v>19</v>
      </c>
      <c r="B9" t="s">
        <v>12</v>
      </c>
      <c r="C9">
        <v>13800</v>
      </c>
      <c r="D9">
        <v>0</v>
      </c>
      <c r="E9" t="s">
        <v>13</v>
      </c>
      <c r="F9" s="1">
        <v>44255</v>
      </c>
      <c r="G9" s="1" t="str">
        <f t="shared" si="0"/>
        <v>Mid</v>
      </c>
      <c r="H9" t="str">
        <f t="shared" si="2"/>
        <v>Mid</v>
      </c>
      <c r="I9">
        <f t="shared" si="1"/>
        <v>690</v>
      </c>
    </row>
    <row r="10" spans="1:9" x14ac:dyDescent="0.35">
      <c r="A10" t="s">
        <v>20</v>
      </c>
      <c r="B10" t="s">
        <v>10</v>
      </c>
      <c r="C10">
        <v>8500</v>
      </c>
      <c r="D10">
        <v>0</v>
      </c>
      <c r="E10" t="s">
        <v>8</v>
      </c>
      <c r="F10" s="1">
        <v>44747</v>
      </c>
      <c r="G10" s="1" t="str">
        <f t="shared" si="0"/>
        <v>Low</v>
      </c>
      <c r="H10" t="str">
        <f t="shared" si="2"/>
        <v>Low</v>
      </c>
      <c r="I10">
        <f t="shared" si="1"/>
        <v>425</v>
      </c>
    </row>
    <row r="11" spans="1:9" x14ac:dyDescent="0.35">
      <c r="A11" t="s">
        <v>21</v>
      </c>
      <c r="B11" t="s">
        <v>15</v>
      </c>
      <c r="C11">
        <v>19500</v>
      </c>
      <c r="D11">
        <v>0</v>
      </c>
      <c r="E11" t="s">
        <v>8</v>
      </c>
      <c r="F11" s="1">
        <v>43538</v>
      </c>
      <c r="G11" s="1" t="str">
        <f t="shared" si="0"/>
        <v>High</v>
      </c>
      <c r="H11" t="str">
        <f t="shared" si="2"/>
        <v>High</v>
      </c>
      <c r="I11">
        <f t="shared" si="1"/>
        <v>975</v>
      </c>
    </row>
    <row r="12" spans="1:9" x14ac:dyDescent="0.35">
      <c r="A12" t="s">
        <v>22</v>
      </c>
      <c r="B12" t="s">
        <v>7</v>
      </c>
      <c r="C12">
        <v>21000</v>
      </c>
      <c r="D12">
        <v>110000</v>
      </c>
      <c r="E12" t="s">
        <v>8</v>
      </c>
      <c r="F12" s="1">
        <v>42736</v>
      </c>
      <c r="G12" s="1" t="str">
        <f t="shared" si="0"/>
        <v>Elite</v>
      </c>
      <c r="H12" t="str">
        <f t="shared" si="2"/>
        <v>Elite</v>
      </c>
      <c r="I12">
        <f t="shared" si="1"/>
        <v>5500</v>
      </c>
    </row>
    <row r="13" spans="1:9" x14ac:dyDescent="0.35">
      <c r="A13" t="s">
        <v>23</v>
      </c>
      <c r="B13" t="s">
        <v>12</v>
      </c>
      <c r="C13">
        <v>15600</v>
      </c>
      <c r="D13">
        <v>0</v>
      </c>
      <c r="E13" t="s">
        <v>13</v>
      </c>
      <c r="F13" s="1">
        <v>43981</v>
      </c>
      <c r="G13" s="1" t="str">
        <f t="shared" si="0"/>
        <v>High</v>
      </c>
      <c r="H13" t="str">
        <f t="shared" si="2"/>
        <v>High</v>
      </c>
      <c r="I13">
        <f t="shared" si="1"/>
        <v>780</v>
      </c>
    </row>
    <row r="14" spans="1:9" x14ac:dyDescent="0.35">
      <c r="A14" t="s">
        <v>24</v>
      </c>
      <c r="B14" t="s">
        <v>10</v>
      </c>
      <c r="C14">
        <v>7800</v>
      </c>
      <c r="D14">
        <v>0</v>
      </c>
      <c r="E14" t="s">
        <v>13</v>
      </c>
      <c r="F14" s="1">
        <v>45210</v>
      </c>
      <c r="G14" s="1" t="str">
        <f t="shared" si="0"/>
        <v>Low</v>
      </c>
      <c r="H14" t="str">
        <f t="shared" si="2"/>
        <v>Low</v>
      </c>
      <c r="I14">
        <f t="shared" si="1"/>
        <v>390</v>
      </c>
    </row>
    <row r="15" spans="1:9" x14ac:dyDescent="0.35">
      <c r="A15" t="s">
        <v>25</v>
      </c>
      <c r="B15" t="s">
        <v>15</v>
      </c>
      <c r="C15">
        <v>28500</v>
      </c>
      <c r="D15">
        <v>0</v>
      </c>
      <c r="E15" t="s">
        <v>8</v>
      </c>
      <c r="F15" s="1">
        <v>44369</v>
      </c>
      <c r="G15" s="1" t="str">
        <f t="shared" si="0"/>
        <v>Elite</v>
      </c>
      <c r="H15" t="str">
        <f t="shared" si="2"/>
        <v>Elite</v>
      </c>
      <c r="I15">
        <f t="shared" si="1"/>
        <v>2850</v>
      </c>
    </row>
    <row r="16" spans="1:9" x14ac:dyDescent="0.35">
      <c r="A16" t="s">
        <v>26</v>
      </c>
      <c r="B16" t="s">
        <v>7</v>
      </c>
      <c r="C16">
        <v>13400</v>
      </c>
      <c r="D16">
        <v>71000</v>
      </c>
      <c r="E16" t="s">
        <v>8</v>
      </c>
      <c r="F16" s="1">
        <v>43716</v>
      </c>
      <c r="G16" s="1" t="str">
        <f t="shared" si="0"/>
        <v>Mid</v>
      </c>
      <c r="H16" t="str">
        <f t="shared" si="2"/>
        <v>Mid</v>
      </c>
      <c r="I16">
        <f t="shared" si="1"/>
        <v>3550</v>
      </c>
    </row>
    <row r="17" spans="1:9" x14ac:dyDescent="0.35">
      <c r="A17" t="s">
        <v>27</v>
      </c>
      <c r="B17" t="s">
        <v>12</v>
      </c>
      <c r="C17">
        <v>17200</v>
      </c>
      <c r="D17">
        <v>0</v>
      </c>
      <c r="E17" t="s">
        <v>8</v>
      </c>
      <c r="F17" s="1">
        <v>43451</v>
      </c>
      <c r="G17" s="1" t="str">
        <f t="shared" si="0"/>
        <v>High</v>
      </c>
      <c r="H17" t="str">
        <f t="shared" si="2"/>
        <v>High</v>
      </c>
      <c r="I17">
        <f t="shared" si="1"/>
        <v>860</v>
      </c>
    </row>
    <row r="18" spans="1:9" x14ac:dyDescent="0.35">
      <c r="A18" t="s">
        <v>28</v>
      </c>
      <c r="B18" t="s">
        <v>15</v>
      </c>
      <c r="C18">
        <v>31000</v>
      </c>
      <c r="D18">
        <v>0</v>
      </c>
      <c r="E18" t="s">
        <v>13</v>
      </c>
      <c r="F18" s="1">
        <v>44655</v>
      </c>
      <c r="G18" s="1" t="str">
        <f t="shared" si="0"/>
        <v>Elite</v>
      </c>
      <c r="H18" t="str">
        <f t="shared" si="2"/>
        <v>Elite</v>
      </c>
      <c r="I18">
        <f t="shared" si="1"/>
        <v>3100</v>
      </c>
    </row>
    <row r="19" spans="1:9" x14ac:dyDescent="0.35">
      <c r="A19" t="s">
        <v>29</v>
      </c>
      <c r="B19" t="s">
        <v>10</v>
      </c>
      <c r="C19">
        <v>10500</v>
      </c>
      <c r="D19">
        <v>0</v>
      </c>
      <c r="E19" t="s">
        <v>8</v>
      </c>
      <c r="F19" s="1">
        <v>44068</v>
      </c>
      <c r="G19" s="1" t="str">
        <f t="shared" si="0"/>
        <v>Mid</v>
      </c>
      <c r="H19" t="str">
        <f t="shared" si="2"/>
        <v>Mid</v>
      </c>
      <c r="I19">
        <f t="shared" si="1"/>
        <v>525</v>
      </c>
    </row>
    <row r="20" spans="1:9" x14ac:dyDescent="0.35">
      <c r="A20" t="s">
        <v>30</v>
      </c>
      <c r="B20" t="s">
        <v>7</v>
      </c>
      <c r="C20">
        <v>9800</v>
      </c>
      <c r="D20">
        <v>52000</v>
      </c>
      <c r="E20" t="s">
        <v>13</v>
      </c>
      <c r="F20" s="1">
        <v>44969</v>
      </c>
      <c r="G20" s="1" t="str">
        <f t="shared" si="0"/>
        <v>Low</v>
      </c>
      <c r="H20" t="str">
        <f t="shared" si="2"/>
        <v>Low</v>
      </c>
      <c r="I20">
        <f t="shared" si="1"/>
        <v>2600</v>
      </c>
    </row>
    <row r="21" spans="1:9" x14ac:dyDescent="0.35">
      <c r="A21" t="s">
        <v>31</v>
      </c>
      <c r="B21" t="s">
        <v>12</v>
      </c>
      <c r="C21">
        <v>12900</v>
      </c>
      <c r="D21">
        <v>0</v>
      </c>
      <c r="E21" t="s">
        <v>8</v>
      </c>
      <c r="F21" s="1">
        <v>44506</v>
      </c>
      <c r="G21" s="1" t="str">
        <f t="shared" si="0"/>
        <v>Mid</v>
      </c>
      <c r="H21" t="str">
        <f t="shared" si="2"/>
        <v>Mid</v>
      </c>
      <c r="I21">
        <f t="shared" si="1"/>
        <v>645</v>
      </c>
    </row>
  </sheetData>
  <conditionalFormatting sqref="C1:C1048576">
    <cfRule type="top10" dxfId="1" priority="3" rank="5"/>
    <cfRule type="colorScale" priority="4">
      <colorScale>
        <cfvo type="min"/>
        <cfvo type="percentile" val="50"/>
        <cfvo type="max"/>
        <color rgb="FFF8696B"/>
        <color rgb="FFFFEB84"/>
        <color rgb="FF63BE7B"/>
      </colorScale>
    </cfRule>
  </conditionalFormatting>
  <conditionalFormatting sqref="A1:I21">
    <cfRule type="expression" dxfId="0" priority="2">
      <formula>$C1&lt;10000</formula>
    </cfRule>
  </conditionalFormatting>
  <conditionalFormatting sqref="D1:D1048576">
    <cfRule type="dataBar" priority="1">
      <dataBar>
        <cfvo type="min"/>
        <cfvo type="max"/>
        <color rgb="FF638EC6"/>
      </dataBar>
      <extLst>
        <ext xmlns:x14="http://schemas.microsoft.com/office/spreadsheetml/2009/9/main" uri="{B025F937-C7B1-47D3-B67F-A62EFF666E3E}">
          <x14:id>{E1756C0A-B492-4359-AA02-83B420C7CDBF}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1756C0A-B492-4359-AA02-83B420C7CDBF}">
            <x14:dataBar minLength="0" maxLength="100" border="1" negativeBarBorderColorSameAsPositive="0">
              <x14:cfvo type="autoMin"/>
              <x14:cfvo type="autoMax"/>
              <x14:borderColor rgb="FF638EC6"/>
              <x14:negativeFillColor rgb="FFFF0000"/>
              <x14:negativeBorderColor rgb="FFFF0000"/>
              <x14:axisColor rgb="FF000000"/>
            </x14:dataBar>
          </x14:cfRule>
          <xm:sqref>D1:D1048576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DCF7-A9A4-4F40-BA6E-B26A7D7EAD3D}">
  <dimension ref="A1:I6"/>
  <sheetViews>
    <sheetView workbookViewId="0">
      <selection activeCell="B6" sqref="B6"/>
    </sheetView>
  </sheetViews>
  <sheetFormatPr defaultRowHeight="14.5" x14ac:dyDescent="0.35"/>
  <cols>
    <col min="1" max="6" width="15.26953125" bestFit="1" customWidth="1"/>
    <col min="7" max="7" width="15.36328125" bestFit="1" customWidth="1"/>
    <col min="8" max="8" width="14.81640625" bestFit="1" customWidth="1"/>
    <col min="9" max="9" width="14.08984375" bestFit="1" customWidth="1"/>
  </cols>
  <sheetData>
    <row r="1" spans="1:9" x14ac:dyDescent="0.35">
      <c r="A1" s="3" t="s">
        <v>1</v>
      </c>
      <c r="B1" t="s">
        <v>47</v>
      </c>
    </row>
    <row r="3" spans="1:9" x14ac:dyDescent="0.35">
      <c r="A3" s="3" t="s">
        <v>48</v>
      </c>
    </row>
    <row r="4" spans="1:9" x14ac:dyDescent="0.35">
      <c r="A4" t="s">
        <v>13</v>
      </c>
      <c r="D4" t="s">
        <v>8</v>
      </c>
      <c r="G4" t="s">
        <v>49</v>
      </c>
      <c r="H4" t="s">
        <v>52</v>
      </c>
      <c r="I4" t="s">
        <v>50</v>
      </c>
    </row>
    <row r="5" spans="1:9" x14ac:dyDescent="0.35">
      <c r="A5" t="s">
        <v>38</v>
      </c>
      <c r="B5" t="s">
        <v>53</v>
      </c>
      <c r="C5" t="s">
        <v>51</v>
      </c>
      <c r="D5" t="s">
        <v>38</v>
      </c>
      <c r="E5" t="s">
        <v>53</v>
      </c>
      <c r="F5" t="s">
        <v>51</v>
      </c>
    </row>
    <row r="6" spans="1:9" x14ac:dyDescent="0.35">
      <c r="A6" s="4">
        <v>109000</v>
      </c>
      <c r="B6" s="4">
        <v>7</v>
      </c>
      <c r="C6" s="4">
        <v>15571.428571428571</v>
      </c>
      <c r="D6" s="4">
        <v>217400</v>
      </c>
      <c r="E6" s="4">
        <v>13</v>
      </c>
      <c r="F6" s="4">
        <v>16723.076923076922</v>
      </c>
      <c r="G6" s="4">
        <v>326400</v>
      </c>
      <c r="H6" s="4">
        <v>20</v>
      </c>
      <c r="I6" s="4">
        <v>16320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161A-1156-466A-9215-84C9F1D705D1}">
  <dimension ref="A1:F7"/>
  <sheetViews>
    <sheetView workbookViewId="0">
      <selection activeCell="C9" sqref="C9"/>
    </sheetView>
  </sheetViews>
  <sheetFormatPr defaultRowHeight="14.5" x14ac:dyDescent="0.35"/>
  <cols>
    <col min="1" max="1" width="13.1796875" customWidth="1"/>
    <col min="2" max="2" width="13.6328125" customWidth="1"/>
    <col min="3" max="3" width="15.6328125" customWidth="1"/>
    <col min="4" max="4" width="16.36328125" customWidth="1"/>
    <col min="5" max="5" width="19.1796875" customWidth="1"/>
    <col min="6" max="6" width="25.26953125" customWidth="1"/>
  </cols>
  <sheetData>
    <row r="1" spans="1:6" x14ac:dyDescent="0.35">
      <c r="A1" t="s">
        <v>1</v>
      </c>
      <c r="B1" s="2" t="s">
        <v>38</v>
      </c>
      <c r="C1" s="2" t="s">
        <v>39</v>
      </c>
      <c r="D1" t="s">
        <v>40</v>
      </c>
      <c r="E1" t="s">
        <v>41</v>
      </c>
      <c r="F1" t="s">
        <v>42</v>
      </c>
    </row>
    <row r="2" spans="1:6" x14ac:dyDescent="0.35">
      <c r="A2" t="s">
        <v>7</v>
      </c>
      <c r="B2" s="2">
        <f>SUMIF(Data!B:B,A2,Data!C:C)</f>
        <v>90600</v>
      </c>
      <c r="C2" s="2">
        <f>AVERAGEIF(Data!B:B,A2,Data!C:C)</f>
        <v>15100</v>
      </c>
      <c r="D2">
        <f>COUNTIF(Data!B:B,A2)</f>
        <v>6</v>
      </c>
      <c r="E2">
        <f>SUMIFS(Data!D:D,Data!B:B,A2,Data!E:E,"UAE")</f>
        <v>340000</v>
      </c>
      <c r="F2">
        <f>COUNTIFS(Data!B:B,A2,Data!C:C,"&gt;"&amp;15000)</f>
        <v>3</v>
      </c>
    </row>
    <row r="3" spans="1:6" x14ac:dyDescent="0.35">
      <c r="A3" t="s">
        <v>10</v>
      </c>
      <c r="B3" s="2">
        <f>SUMIF(Data!B:B,A3,Data!C:C)</f>
        <v>36000</v>
      </c>
      <c r="C3" s="2">
        <f>AVERAGEIF(Data!B:B,A3,Data!C:C)</f>
        <v>9000</v>
      </c>
      <c r="D3">
        <f>COUNTIF(Data!B:B,A3)</f>
        <v>4</v>
      </c>
      <c r="E3">
        <f>SUMIFS(Data!D:D,Data!B:B,A3,Data!E:E,"UAE")</f>
        <v>0</v>
      </c>
      <c r="F3">
        <f>COUNTIFS(Data!B:B,A3,Data!C:C,"&gt;"&amp;15000)</f>
        <v>0</v>
      </c>
    </row>
    <row r="4" spans="1:6" x14ac:dyDescent="0.35">
      <c r="A4" t="s">
        <v>12</v>
      </c>
      <c r="B4" s="2">
        <f>SUMIF(Data!B:B,A4,Data!C:C)</f>
        <v>73800</v>
      </c>
      <c r="C4" s="2">
        <f>AVERAGEIF(Data!B:B,A4,Data!C:C)</f>
        <v>14760</v>
      </c>
      <c r="D4">
        <f>COUNTIF(Data!B:B,A4)</f>
        <v>5</v>
      </c>
      <c r="E4">
        <f>SUMIFS(Data!D:D,Data!B:B,A4,Data!E:E,"UAE")</f>
        <v>0</v>
      </c>
      <c r="F4">
        <f>COUNTIFS(Data!B:B,A4,Data!C:C,"&gt;"&amp;15000)</f>
        <v>2</v>
      </c>
    </row>
    <row r="5" spans="1:6" x14ac:dyDescent="0.35">
      <c r="A5" t="s">
        <v>15</v>
      </c>
      <c r="B5" s="2">
        <f>SUMIF(Data!B:B,A5,Data!C:C)</f>
        <v>126000</v>
      </c>
      <c r="C5" s="2">
        <f>AVERAGEIF(Data!B:B,A5,Data!C:C)</f>
        <v>25200</v>
      </c>
      <c r="D5">
        <f>COUNTIF(Data!B:B,A5)</f>
        <v>5</v>
      </c>
      <c r="E5">
        <f>SUMIFS(Data!D:D,Data!B:B,A5,Data!E:E,"UAE")</f>
        <v>0</v>
      </c>
      <c r="F5">
        <f>COUNTIFS(Data!B:B,A5,Data!C:C,"&gt;"&amp;15000)</f>
        <v>5</v>
      </c>
    </row>
    <row r="6" spans="1:6" x14ac:dyDescent="0.35">
      <c r="B6" s="2"/>
      <c r="C6" s="2"/>
    </row>
    <row r="7" spans="1:6" x14ac:dyDescent="0.35">
      <c r="A7" t="s">
        <v>43</v>
      </c>
      <c r="B7" s="2">
        <f>SUM(B2:B5)</f>
        <v>326400</v>
      </c>
      <c r="C7" s="2">
        <f>SUM(D2:D5)</f>
        <v>20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5659F-45E3-4C3A-99E8-D7FA5C9BC3F4}">
  <dimension ref="A1:D5"/>
  <sheetViews>
    <sheetView tabSelected="1" topLeftCell="A2" workbookViewId="0">
      <selection activeCell="B6" sqref="B6"/>
    </sheetView>
  </sheetViews>
  <sheetFormatPr defaultRowHeight="14.5" x14ac:dyDescent="0.35"/>
  <cols>
    <col min="1" max="2" width="15.26953125" customWidth="1"/>
    <col min="3" max="3" width="19.08984375" customWidth="1"/>
    <col min="4" max="4" width="20" customWidth="1"/>
  </cols>
  <sheetData>
    <row r="1" spans="1:4" x14ac:dyDescent="0.35">
      <c r="A1" t="s">
        <v>32</v>
      </c>
      <c r="B1" t="s">
        <v>33</v>
      </c>
      <c r="C1" t="s">
        <v>34</v>
      </c>
      <c r="D1" t="s">
        <v>35</v>
      </c>
    </row>
    <row r="2" spans="1:4" x14ac:dyDescent="0.35">
      <c r="A2" t="s">
        <v>22</v>
      </c>
      <c r="C2">
        <f>VLOOKUP(A2,Data!A:F,3,0)</f>
        <v>21000</v>
      </c>
      <c r="D2">
        <f>INDEX(Data!C:C,MATCH(A2,Data!A:A,0))</f>
        <v>21000</v>
      </c>
    </row>
    <row r="4" spans="1:4" x14ac:dyDescent="0.35">
      <c r="A4" t="s">
        <v>32</v>
      </c>
      <c r="B4" t="s">
        <v>22</v>
      </c>
      <c r="C4" t="s">
        <v>37</v>
      </c>
    </row>
    <row r="5" spans="1:4" x14ac:dyDescent="0.35">
      <c r="A5" t="s">
        <v>36</v>
      </c>
      <c r="B5" t="s">
        <v>1</v>
      </c>
      <c r="C5" t="str">
        <f>INDEX(Data!A:F, MATCH(B4,Data!A:A,0), MATCH(B5,Data!$1:$1,0))</f>
        <v>Sales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F0B4-8EED-4072-BCD0-46CAC159D581}">
  <dimension ref="A1:F3"/>
  <sheetViews>
    <sheetView workbookViewId="0">
      <selection activeCell="A2" sqref="A2"/>
    </sheetView>
  </sheetViews>
  <sheetFormatPr defaultRowHeight="14.5" x14ac:dyDescent="0.35"/>
  <cols>
    <col min="1" max="1" width="14.453125" customWidth="1"/>
    <col min="5" max="5" width="21.54296875" customWidth="1"/>
    <col min="6" max="6" width="16" customWidth="1"/>
  </cols>
  <sheetData>
    <row r="1" spans="1:6" x14ac:dyDescent="0.35">
      <c r="A1" t="s">
        <v>1</v>
      </c>
      <c r="D1" t="s">
        <v>4</v>
      </c>
      <c r="E1" t="s">
        <v>55</v>
      </c>
      <c r="F1" t="s">
        <v>54</v>
      </c>
    </row>
    <row r="2" spans="1:6" x14ac:dyDescent="0.35">
      <c r="A2" t="s">
        <v>7</v>
      </c>
      <c r="D2" t="s">
        <v>8</v>
      </c>
      <c r="E2">
        <f>SUMIFS(Data!C:C,Data!B:B,B2,Data!E:E,C2)</f>
        <v>0</v>
      </c>
      <c r="F2" t="s">
        <v>8</v>
      </c>
    </row>
    <row r="3" spans="1:6" x14ac:dyDescent="0.35">
      <c r="F3" t="s">
        <v>13</v>
      </c>
    </row>
  </sheetData>
  <dataValidations count="3">
    <dataValidation type="list" allowBlank="1" showInputMessage="1" showErrorMessage="1" sqref="B2" xr:uid="{28A095EA-ABE8-4771-BBCC-A8FBB68D976C}">
      <formula1>"Sales,HR,Finance,Tech"</formula1>
    </dataValidation>
    <dataValidation type="list" allowBlank="1" showInputMessage="1" showErrorMessage="1" sqref="C2:D2" xr:uid="{C2ED78DF-92C0-4EC4-9855-2A26B3FB5EC2}">
      <formula1>$F$2:$F$3</formula1>
    </dataValidation>
    <dataValidation type="list" allowBlank="1" showInputMessage="1" showErrorMessage="1" errorTitle="Invalid Department" error="Please select a valid department from the list." sqref="A2" xr:uid="{6F91E0BF-7CCE-480B-B448-1A613E799AE4}">
      <formula1>"Sales,HR,Finance,Tech"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Data</vt:lpstr>
      <vt:lpstr>Formatting</vt:lpstr>
      <vt:lpstr>Pivot</vt:lpstr>
      <vt:lpstr>Summary</vt:lpstr>
      <vt:lpstr>Lookups</vt:lpstr>
      <vt:lpstr>Validation</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azamtanzeem9@gmail.com</dc:creator>
  <cp:lastModifiedBy>azamtanzeem9@gmail.com</cp:lastModifiedBy>
  <dcterms:created xsi:type="dcterms:W3CDTF">2026-06-28T12:29:54Z</dcterms:created>
  <dcterms:modified xsi:type="dcterms:W3CDTF">2026-07-02T07:02:01Z</dcterms:modified>
</cp:coreProperties>
</file>